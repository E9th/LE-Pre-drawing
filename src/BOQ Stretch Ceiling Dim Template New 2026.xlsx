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visawa.de\Desktop\"/>
    </mc:Choice>
  </mc:AlternateContent>
  <xr:revisionPtr revIDLastSave="0" documentId="13_ncr:1_{5CC25883-90DC-49A2-9BEA-7CC099C6783A}" xr6:coauthVersionLast="36" xr6:coauthVersionMax="36" xr10:uidLastSave="{00000000-0000-0000-0000-000000000000}"/>
  <bookViews>
    <workbookView xWindow="0" yWindow="0" windowWidth="19200" windowHeight="8010" xr2:uid="{BD60AEC0-BA93-48CD-B7DF-8CC0EAA3E803}"/>
  </bookViews>
  <sheets>
    <sheet name="Sheet1" sheetId="1" r:id="rId1"/>
  </sheets>
  <definedNames>
    <definedName name="_xlnm.Print_Area" localSheetId="0">Sheet1!$A$1:$I$58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8" i="1" l="1"/>
  <c r="G39" i="1"/>
  <c r="G40" i="1"/>
  <c r="G41" i="1"/>
  <c r="G42" i="1"/>
  <c r="G43" i="1"/>
  <c r="G44" i="1"/>
  <c r="G37" i="1"/>
  <c r="G24" i="1"/>
  <c r="G25" i="1"/>
  <c r="G26" i="1"/>
  <c r="G27" i="1"/>
  <c r="G28" i="1"/>
  <c r="G29" i="1"/>
  <c r="G30" i="1"/>
  <c r="G23" i="1"/>
  <c r="G11" i="1"/>
  <c r="G12" i="1"/>
  <c r="G13" i="1"/>
  <c r="G14" i="1"/>
  <c r="G15" i="1"/>
  <c r="G16" i="1"/>
  <c r="G17" i="1"/>
  <c r="G10" i="1"/>
  <c r="H44" i="1" l="1"/>
  <c r="I44" i="1" s="1"/>
  <c r="F44" i="1"/>
  <c r="H43" i="1"/>
  <c r="I43" i="1" s="1"/>
  <c r="F43" i="1"/>
  <c r="H40" i="1"/>
  <c r="I40" i="1" s="1"/>
  <c r="F40" i="1"/>
  <c r="E39" i="1"/>
  <c r="E38" i="1"/>
  <c r="K37" i="1"/>
  <c r="D42" i="1" s="1"/>
  <c r="E37" i="1"/>
  <c r="D37" i="1"/>
  <c r="H37" i="1" s="1"/>
  <c r="I37" i="1" s="1"/>
  <c r="H26" i="1"/>
  <c r="I26" i="1" s="1"/>
  <c r="H29" i="1"/>
  <c r="I29" i="1" s="1"/>
  <c r="H30" i="1"/>
  <c r="I30" i="1" s="1"/>
  <c r="F26" i="1"/>
  <c r="F27" i="1"/>
  <c r="F29" i="1"/>
  <c r="F30" i="1"/>
  <c r="D23" i="1"/>
  <c r="H23" i="1" s="1"/>
  <c r="I23" i="1" s="1"/>
  <c r="E23" i="1"/>
  <c r="E24" i="1"/>
  <c r="E25" i="1"/>
  <c r="D28" i="1"/>
  <c r="H28" i="1" s="1"/>
  <c r="I28" i="1" s="1"/>
  <c r="H12" i="1"/>
  <c r="I12" i="1" s="1"/>
  <c r="H13" i="1"/>
  <c r="I13" i="1" s="1"/>
  <c r="H16" i="1"/>
  <c r="I16" i="1" s="1"/>
  <c r="H17" i="1"/>
  <c r="I17" i="1" s="1"/>
  <c r="F11" i="1"/>
  <c r="F12" i="1"/>
  <c r="F13" i="1"/>
  <c r="F16" i="1"/>
  <c r="F17" i="1"/>
  <c r="K23" i="1"/>
  <c r="D27" i="1" s="1"/>
  <c r="H27" i="1" s="1"/>
  <c r="I27" i="1" s="1"/>
  <c r="K8" i="1"/>
  <c r="L8" i="1" s="1"/>
  <c r="D10" i="1"/>
  <c r="D11" i="1" s="1"/>
  <c r="D12" i="1" s="1"/>
  <c r="E12" i="1"/>
  <c r="E11" i="1"/>
  <c r="E10" i="1"/>
  <c r="F28" i="1" l="1"/>
  <c r="F23" i="1"/>
  <c r="D38" i="1"/>
  <c r="D39" i="1" s="1"/>
  <c r="H11" i="1"/>
  <c r="I11" i="1" s="1"/>
  <c r="D24" i="1"/>
  <c r="H42" i="1"/>
  <c r="I42" i="1" s="1"/>
  <c r="F42" i="1"/>
  <c r="H39" i="1"/>
  <c r="I39" i="1" s="1"/>
  <c r="F39" i="1"/>
  <c r="L37" i="1"/>
  <c r="H38" i="1"/>
  <c r="I38" i="1" s="1"/>
  <c r="D41" i="1"/>
  <c r="F38" i="1"/>
  <c r="F37" i="1"/>
  <c r="L23" i="1"/>
  <c r="D14" i="1"/>
  <c r="D15" i="1"/>
  <c r="H10" i="1"/>
  <c r="I10" i="1" s="1"/>
  <c r="F10" i="1"/>
  <c r="F14" i="1" l="1"/>
  <c r="H14" i="1"/>
  <c r="I14" i="1" s="1"/>
  <c r="I18" i="1" s="1"/>
  <c r="F15" i="1"/>
  <c r="H15" i="1"/>
  <c r="I15" i="1" s="1"/>
  <c r="F24" i="1"/>
  <c r="D25" i="1"/>
  <c r="H24" i="1"/>
  <c r="I24" i="1" s="1"/>
  <c r="H41" i="1"/>
  <c r="I41" i="1" s="1"/>
  <c r="I45" i="1" s="1"/>
  <c r="I46" i="1" s="1"/>
  <c r="F41" i="1"/>
  <c r="H25" i="1" l="1"/>
  <c r="I25" i="1" s="1"/>
  <c r="F25" i="1"/>
  <c r="I19" i="1"/>
  <c r="I31" i="1"/>
  <c r="I32" i="1" s="1"/>
  <c r="I48" i="1" l="1"/>
</calcChain>
</file>

<file path=xl/sharedStrings.xml><?xml version="1.0" encoding="utf-8"?>
<sst xmlns="http://schemas.openxmlformats.org/spreadsheetml/2006/main" count="132" uniqueCount="49">
  <si>
    <t>Bill Of Quantities Stretch Ceiling</t>
  </si>
  <si>
    <t xml:space="preserve">PROJECT : </t>
  </si>
  <si>
    <t>Date :</t>
  </si>
  <si>
    <t>Revision :</t>
  </si>
  <si>
    <t>Type</t>
  </si>
  <si>
    <t>Description</t>
  </si>
  <si>
    <t>Unit</t>
  </si>
  <si>
    <t>Total Amount</t>
  </si>
  <si>
    <t>Unit Rate</t>
  </si>
  <si>
    <t>Total</t>
  </si>
  <si>
    <t>SC-01</t>
  </si>
  <si>
    <t>Vinyl Translucent Cost</t>
  </si>
  <si>
    <t>Sq.m.</t>
  </si>
  <si>
    <t>Structure Cost</t>
  </si>
  <si>
    <t>Installation Cost</t>
  </si>
  <si>
    <t>LED Module SLM04 1.44W 8xx Spacing 15x15 cm.</t>
  </si>
  <si>
    <t>Pcs.</t>
  </si>
  <si>
    <t>SC-02</t>
  </si>
  <si>
    <t>Qty.</t>
  </si>
  <si>
    <t>Area</t>
  </si>
  <si>
    <t>Cost</t>
  </si>
  <si>
    <t>SPL</t>
  </si>
  <si>
    <t>Driver PWM SR-2303P 4 in 1</t>
  </si>
  <si>
    <t>Summary SC-01</t>
  </si>
  <si>
    <t>Total Price SC-01 / Pc.</t>
  </si>
  <si>
    <t>-</t>
  </si>
  <si>
    <t>Wattage of LED
/โคม</t>
  </si>
  <si>
    <t>Wattage of LED 
/ รวม</t>
  </si>
  <si>
    <t>Wise Play2/ Bridge DALI(50mA) + 0/1-10V(20mA) + Relay(5A)</t>
  </si>
  <si>
    <t>Pc.</t>
  </si>
  <si>
    <t>L&amp;E Wise Play2/ Smart Keypad/ RSS03/ White/ 4-key/ CR2430</t>
  </si>
  <si>
    <t>Summary SC-02</t>
  </si>
  <si>
    <t>Total Price</t>
  </si>
  <si>
    <t>Total Price SC-02 / Pc.</t>
  </si>
  <si>
    <t>Switching Power Supply LRS-150-12</t>
  </si>
  <si>
    <t>SC-03</t>
  </si>
  <si>
    <t>Summary SC-03</t>
  </si>
  <si>
    <t>Total Price SC-03 / Pc.</t>
  </si>
  <si>
    <t xml:space="preserve">Please note that : </t>
  </si>
  <si>
    <t xml:space="preserve"> - เข้าทำงาน ปกติ 8.00 - 17.00 น. วันจันทร์ - ศุกร์</t>
  </si>
  <si>
    <t xml:space="preserve"> - รับประกันสินค้า 2 ปี</t>
  </si>
  <si>
    <t xml:space="preserve"> - ภายในระยะเวลารับประกัน มีการ Service บำรุงรักษา ทำความสะอาด และ ซ่อมแซมอุปกรณ์ 1 ครั้ง กรณีต่างจังหวัดจะมีค่าใช้จ่ายในการเดินทางเพิ่มเติม          </t>
  </si>
  <si>
    <t xml:space="preserve"> -ราคาและจำนวนอุปกรณ์ อาจมีการเปลี่ยนแปลงหลังจากสำรวจหน้างานจริง</t>
  </si>
  <si>
    <t xml:space="preserve"> -ราคาอาจมีการเปลี่ยนแปลงหลังสำรวจหน้างาน</t>
  </si>
  <si>
    <t xml:space="preserve"> - ราคานี้ไม่รวมค่าเดินทาง ค่าที่พัก (กรณีหน้างานไม่ได้อยู่ในกทม.และปริมณฑล) ค่าทำงานในเวลากลางคืน และค่านั่งร้าน โดยหากหน้างานมีความสูง 3 เมตรขึ้นไป หน้างานจะต้องเตรียมนั่งร้านไว้รอทีม Stretch Ceiling </t>
  </si>
  <si>
    <t>Control   :</t>
  </si>
  <si>
    <t>xxx</t>
  </si>
  <si>
    <t>xx/xx/2026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</si>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</sst>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-* #,##0.00_-;\-* #,##0.00_-;_-* \-??_-;_-@_-"/>
    <numFmt numFmtId="188" formatCode="00"/>
    <numFmt numFmtId="189" formatCode="_-* #,##0_-;\-* #,##0_-;_-* \-??_-;_-@_-"/>
  </numFmts>
  <fonts count="7" x14ac:knownFonts="1">
    <font>
      <sz val="11"/>
      <color theme="1"/>
      <name val="Tahoma"/>
      <family val="2"/>
      <charset val="222"/>
      <scheme val="minor"/>
    </font>
    <font>
      <sz val="11"/>
      <color rgb="FF000000"/>
      <name val="Calibri"/>
      <family val="2"/>
      <charset val="1"/>
    </font>
    <font>
      <b/>
      <u/>
      <sz val="16"/>
      <name val="Tahoma"/>
      <family val="2"/>
      <charset val="1"/>
    </font>
    <font>
      <b/>
      <sz val="12"/>
      <name val="Tahoma"/>
      <family val="2"/>
      <charset val="1"/>
    </font>
    <font>
      <sz val="12"/>
      <color rgb="FF000000"/>
      <name val="Tahoma"/>
      <family val="2"/>
      <charset val="1"/>
    </font>
    <font>
      <sz val="12"/>
      <name val="Tahoma"/>
      <family val="2"/>
      <charset val="1"/>
    </font>
    <font>
      <sz val="12"/>
      <color theme="1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AEF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rgb="FFFFC000"/>
        <bgColor rgb="FFE2F0D9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87" fontId="1" fillId="0" borderId="0" applyBorder="0" applyProtection="0"/>
  </cellStyleXfs>
  <cellXfs count="53">
    <xf numFmtId="0" fontId="0" fillId="0" borderId="0" xfId="0"/>
    <xf numFmtId="0" fontId="3" fillId="0" borderId="0" xfId="1" applyFont="1" applyAlignment="1" applyProtection="1">
      <alignment vertical="center"/>
    </xf>
    <xf numFmtId="0" fontId="3" fillId="0" borderId="0" xfId="1" applyFont="1" applyAlignment="1" applyProtection="1">
      <alignment horizontal="left" vertical="center" wrapText="1"/>
    </xf>
    <xf numFmtId="0" fontId="3" fillId="0" borderId="0" xfId="1" applyFont="1" applyAlignment="1" applyProtection="1">
      <alignment horizontal="center" vertical="center"/>
    </xf>
    <xf numFmtId="0" fontId="3" fillId="0" borderId="0" xfId="1" applyFont="1" applyAlignment="1" applyProtection="1">
      <alignment horizontal="right" vertical="center"/>
    </xf>
    <xf numFmtId="49" fontId="4" fillId="0" borderId="0" xfId="2" applyNumberFormat="1" applyFont="1" applyBorder="1" applyAlignment="1" applyProtection="1">
      <alignment horizontal="center" vertical="center"/>
    </xf>
    <xf numFmtId="0" fontId="5" fillId="0" borderId="0" xfId="1" applyFont="1" applyAlignment="1" applyProtection="1">
      <alignment horizontal="center" vertical="center"/>
    </xf>
    <xf numFmtId="0" fontId="5" fillId="0" borderId="0" xfId="1" applyFont="1" applyAlignment="1" applyProtection="1">
      <alignment horizontal="left" vertical="center"/>
    </xf>
    <xf numFmtId="0" fontId="5" fillId="0" borderId="2" xfId="1" applyFont="1" applyBorder="1" applyAlignment="1" applyProtection="1">
      <alignment horizontal="center" vertical="center"/>
    </xf>
    <xf numFmtId="189" fontId="5" fillId="0" borderId="0" xfId="2" applyNumberFormat="1" applyFont="1" applyBorder="1" applyAlignment="1" applyProtection="1">
      <alignment horizontal="right" vertical="center"/>
    </xf>
    <xf numFmtId="189" fontId="5" fillId="0" borderId="0" xfId="2" applyNumberFormat="1" applyFont="1" applyBorder="1" applyAlignment="1" applyProtection="1">
      <alignment vertical="center"/>
    </xf>
    <xf numFmtId="189" fontId="5" fillId="0" borderId="2" xfId="2" applyNumberFormat="1" applyFont="1" applyBorder="1" applyAlignment="1" applyProtection="1">
      <alignment horizontal="center" vertical="center"/>
    </xf>
    <xf numFmtId="189" fontId="5" fillId="0" borderId="2" xfId="2" applyNumberFormat="1" applyFont="1" applyBorder="1" applyAlignment="1" applyProtection="1">
      <alignment horizontal="right" vertical="center"/>
    </xf>
    <xf numFmtId="0" fontId="5" fillId="0" borderId="0" xfId="1" applyFont="1" applyBorder="1" applyAlignment="1" applyProtection="1">
      <alignment vertical="center"/>
    </xf>
    <xf numFmtId="0" fontId="3" fillId="0" borderId="2" xfId="1" applyFont="1" applyBorder="1" applyAlignment="1" applyProtection="1">
      <alignment horizontal="left" vertical="center" wrapText="1"/>
    </xf>
    <xf numFmtId="0" fontId="3" fillId="0" borderId="2" xfId="1" applyFont="1" applyBorder="1" applyAlignment="1" applyProtection="1">
      <alignment horizontal="center" vertical="center"/>
    </xf>
    <xf numFmtId="0" fontId="5" fillId="0" borderId="2" xfId="1" applyFont="1" applyBorder="1" applyAlignment="1" applyProtection="1">
      <alignment horizontal="left" vertical="center" wrapText="1"/>
    </xf>
    <xf numFmtId="0" fontId="4" fillId="0" borderId="2" xfId="1" applyFont="1" applyBorder="1" applyAlignment="1" applyProtection="1">
      <alignment horizontal="left" vertical="center" wrapText="1"/>
    </xf>
    <xf numFmtId="0" fontId="4" fillId="0" borderId="2" xfId="1" applyFont="1" applyBorder="1" applyAlignment="1" applyProtection="1">
      <alignment horizontal="left"/>
    </xf>
    <xf numFmtId="189" fontId="3" fillId="0" borderId="2" xfId="2" applyNumberFormat="1" applyFont="1" applyFill="1" applyBorder="1" applyAlignment="1" applyProtection="1">
      <alignment vertical="center"/>
    </xf>
    <xf numFmtId="0" fontId="5" fillId="0" borderId="0" xfId="1" applyFont="1" applyBorder="1" applyAlignment="1" applyProtection="1">
      <alignment horizontal="center" vertical="center"/>
    </xf>
    <xf numFmtId="189" fontId="3" fillId="0" borderId="0" xfId="2" applyNumberFormat="1" applyFont="1" applyFill="1" applyBorder="1" applyAlignment="1" applyProtection="1">
      <alignment vertical="center"/>
    </xf>
    <xf numFmtId="189" fontId="5" fillId="0" borderId="0" xfId="2" applyNumberFormat="1" applyFont="1" applyFill="1" applyBorder="1" applyAlignment="1" applyProtection="1">
      <alignment vertical="center"/>
    </xf>
    <xf numFmtId="0" fontId="4" fillId="0" borderId="2" xfId="1" applyFont="1" applyBorder="1" applyAlignment="1" applyProtection="1">
      <alignment horizontal="left" vertical="center"/>
    </xf>
    <xf numFmtId="0" fontId="3" fillId="3" borderId="2" xfId="1" applyFont="1" applyFill="1" applyBorder="1" applyAlignment="1" applyProtection="1">
      <alignment horizontal="center" vertical="center"/>
    </xf>
    <xf numFmtId="189" fontId="3" fillId="4" borderId="2" xfId="2" applyNumberFormat="1" applyFont="1" applyFill="1" applyBorder="1" applyAlignment="1" applyProtection="1">
      <alignment vertical="center"/>
    </xf>
    <xf numFmtId="0" fontId="3" fillId="0" borderId="0" xfId="1" applyFont="1" applyBorder="1" applyAlignment="1" applyProtection="1">
      <alignment horizontal="left" vertical="center" wrapText="1"/>
    </xf>
    <xf numFmtId="0" fontId="3" fillId="0" borderId="0" xfId="1" applyFont="1" applyBorder="1" applyAlignment="1" applyProtection="1">
      <alignment horizontal="right" vertical="center"/>
    </xf>
    <xf numFmtId="188" fontId="3" fillId="0" borderId="0" xfId="1" applyNumberFormat="1" applyFont="1" applyBorder="1" applyAlignment="1" applyProtection="1">
      <alignment horizontal="left" vertical="center"/>
    </xf>
    <xf numFmtId="0" fontId="3" fillId="0" borderId="0" xfId="1" applyFont="1" applyBorder="1" applyAlignment="1" applyProtection="1">
      <alignment horizontal="center" vertical="center"/>
    </xf>
    <xf numFmtId="0" fontId="4" fillId="0" borderId="0" xfId="1" applyFont="1" applyBorder="1" applyAlignment="1" applyProtection="1">
      <alignment horizontal="left"/>
    </xf>
    <xf numFmtId="189" fontId="3" fillId="5" borderId="2" xfId="2" applyNumberFormat="1" applyFont="1" applyFill="1" applyBorder="1" applyAlignment="1" applyProtection="1">
      <alignment vertical="center"/>
    </xf>
    <xf numFmtId="0" fontId="5" fillId="0" borderId="2" xfId="1" applyFont="1" applyFill="1" applyBorder="1" applyAlignment="1" applyProtection="1">
      <alignment horizontal="left" vertical="center" wrapText="1"/>
    </xf>
    <xf numFmtId="0" fontId="4" fillId="0" borderId="2" xfId="1" applyFont="1" applyFill="1" applyBorder="1" applyAlignment="1" applyProtection="1">
      <alignment horizontal="left" vertical="center" wrapText="1"/>
    </xf>
    <xf numFmtId="0" fontId="4" fillId="0" borderId="2" xfId="1" applyFont="1" applyFill="1" applyBorder="1" applyAlignment="1" applyProtection="1">
      <alignment horizontal="left" vertical="center"/>
    </xf>
    <xf numFmtId="0" fontId="6" fillId="0" borderId="0" xfId="0" applyFont="1"/>
    <xf numFmtId="0" fontId="3" fillId="5" borderId="4" xfId="1" applyFont="1" applyFill="1" applyBorder="1" applyAlignment="1" applyProtection="1">
      <alignment horizontal="center" vertical="center" wrapText="1"/>
    </xf>
    <xf numFmtId="0" fontId="3" fillId="5" borderId="1" xfId="1" applyFont="1" applyFill="1" applyBorder="1" applyAlignment="1" applyProtection="1">
      <alignment horizontal="center" vertical="center" wrapText="1"/>
    </xf>
    <xf numFmtId="0" fontId="3" fillId="5" borderId="5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/>
    </xf>
    <xf numFmtId="0" fontId="3" fillId="0" borderId="4" xfId="1" applyFont="1" applyFill="1" applyBorder="1" applyAlignment="1" applyProtection="1">
      <alignment horizontal="center" vertical="center"/>
    </xf>
    <xf numFmtId="0" fontId="3" fillId="0" borderId="1" xfId="1" applyFont="1" applyFill="1" applyBorder="1" applyAlignment="1" applyProtection="1">
      <alignment horizontal="center" vertical="center"/>
    </xf>
    <xf numFmtId="0" fontId="3" fillId="0" borderId="5" xfId="1" applyFont="1" applyFill="1" applyBorder="1" applyAlignment="1" applyProtection="1">
      <alignment horizontal="center" vertical="center"/>
    </xf>
    <xf numFmtId="0" fontId="3" fillId="4" borderId="2" xfId="1" applyFont="1" applyFill="1" applyBorder="1" applyAlignment="1" applyProtection="1">
      <alignment horizontal="center" vertical="center"/>
    </xf>
    <xf numFmtId="0" fontId="3" fillId="4" borderId="4" xfId="1" applyFont="1" applyFill="1" applyBorder="1" applyAlignment="1" applyProtection="1">
      <alignment horizontal="center" vertical="center"/>
    </xf>
    <xf numFmtId="0" fontId="3" fillId="4" borderId="1" xfId="1" applyFont="1" applyFill="1" applyBorder="1" applyAlignment="1" applyProtection="1">
      <alignment horizontal="center" vertical="center"/>
    </xf>
    <xf numFmtId="0" fontId="3" fillId="4" borderId="5" xfId="1" applyFont="1" applyFill="1" applyBorder="1" applyAlignment="1" applyProtection="1">
      <alignment horizontal="center" vertical="center"/>
    </xf>
    <xf numFmtId="0" fontId="3" fillId="0" borderId="0" xfId="1" applyFont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</xf>
    <xf numFmtId="0" fontId="3" fillId="3" borderId="2" xfId="1" applyFont="1" applyFill="1" applyBorder="1" applyAlignment="1" applyProtection="1">
      <alignment horizontal="center" vertical="center"/>
    </xf>
    <xf numFmtId="0" fontId="3" fillId="3" borderId="3" xfId="1" applyFont="1" applyFill="1" applyBorder="1" applyAlignment="1" applyProtection="1">
      <alignment horizontal="center" vertical="center"/>
    </xf>
    <xf numFmtId="0" fontId="3" fillId="3" borderId="2" xfId="1" applyFont="1" applyFill="1" applyBorder="1" applyAlignment="1" applyProtection="1">
      <alignment horizontal="center" vertical="center" wrapText="1"/>
    </xf>
  </cellXfs>
  <cellStyles count="3">
    <cellStyle name="Comma 2 3 4 2" xfId="2" xr:uid="{1764F6F0-EE79-4455-B277-32980DE4759E}"/>
    <cellStyle name="Normal" xfId="0" builtinId="0"/>
    <cellStyle name="Normal 2" xfId="1" xr:uid="{D4CF2BC9-5571-4BE3-9092-3555A18576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D2D2-ABB6-48CD-BE07-974A45053936}">
  <sheetPr>
    <pageSetUpPr fitToPage="1"/>
  </sheetPr>
  <dimension ref="A1:L58"/>
  <sheetViews>
    <sheetView tabSelected="1" zoomScale="85" zoomScaleNormal="85" workbookViewId="0">
      <selection activeCell="B3" sqref="B3"/>
    </sheetView>
  </sheetViews>
  <sheetFormatPr defaultRowHeight="14" x14ac:dyDescent="0.3"/>
  <cols>
    <col min="1" max="1" width="12.58203125" customWidth="1"/>
    <col min="2" max="2" width="87.58203125" customWidth="1"/>
    <col min="3" max="3" width="7.75" customWidth="1"/>
    <col min="5" max="5" width="13" customWidth="1"/>
    <col min="6" max="8" width="13.1640625" customWidth="1"/>
    <col min="9" max="9" width="15.1640625" customWidth="1"/>
    <col min="11" max="11" width="19.08203125" customWidth="1"/>
    <col min="12" max="12" width="18.75" customWidth="1"/>
  </cols>
  <sheetData>
    <row r="1" spans="1:12" ht="28.5" customHeight="1" x14ac:dyDescent="0.3">
      <c r="A1" s="49" t="s">
        <v>0</v>
      </c>
      <c r="B1" s="49"/>
      <c r="C1" s="49"/>
      <c r="D1" s="49"/>
      <c r="E1" s="49"/>
      <c r="F1" s="49"/>
      <c r="G1" s="49"/>
      <c r="H1" s="49"/>
      <c r="I1" s="49"/>
    </row>
    <row r="2" spans="1:12" ht="15" x14ac:dyDescent="0.3">
      <c r="A2" s="1"/>
      <c r="B2" s="2"/>
      <c r="C2" s="3"/>
      <c r="D2" s="3"/>
      <c r="E2" s="1"/>
      <c r="F2" s="1"/>
      <c r="G2" s="1"/>
      <c r="H2" s="1"/>
      <c r="I2" s="1"/>
      <c r="K2" s="1"/>
      <c r="L2" s="1"/>
    </row>
    <row r="3" spans="1:12" ht="15" x14ac:dyDescent="0.3">
      <c r="A3" s="29" t="s">
        <v>1</v>
      </c>
      <c r="B3" s="26" t="s">
        <v>46</v>
      </c>
      <c r="C3" s="3"/>
      <c r="D3" s="3"/>
      <c r="E3" s="1"/>
      <c r="F3" s="4"/>
      <c r="G3" s="27" t="s">
        <v>2</v>
      </c>
      <c r="H3" s="5" t="s">
        <v>47</v>
      </c>
      <c r="I3" s="1"/>
      <c r="K3" s="1"/>
      <c r="L3" s="1"/>
    </row>
    <row r="4" spans="1:12" ht="15" x14ac:dyDescent="0.3">
      <c r="A4" s="29" t="s">
        <v>45</v>
      </c>
      <c r="B4" s="26" t="s">
        <v>46</v>
      </c>
      <c r="C4" s="3"/>
      <c r="D4" s="3"/>
      <c r="E4" s="1"/>
      <c r="F4" s="4"/>
      <c r="G4" s="27" t="s">
        <v>3</v>
      </c>
      <c r="H4" s="28"/>
      <c r="I4" s="1"/>
      <c r="K4" s="1"/>
      <c r="L4" s="1"/>
    </row>
    <row r="5" spans="1:12" ht="15" x14ac:dyDescent="0.3">
      <c r="A5" s="6"/>
      <c r="B5" s="7"/>
      <c r="C5" s="20"/>
      <c r="D5" s="20"/>
      <c r="E5" s="13"/>
      <c r="F5" s="13"/>
      <c r="G5" s="13"/>
      <c r="H5" s="13"/>
      <c r="I5" s="13"/>
      <c r="K5" s="13"/>
      <c r="L5" s="13"/>
    </row>
    <row r="6" spans="1:12" ht="27.75" customHeight="1" x14ac:dyDescent="0.3">
      <c r="A6" s="50" t="s">
        <v>4</v>
      </c>
      <c r="B6" s="52" t="s">
        <v>5</v>
      </c>
      <c r="C6" s="50" t="s">
        <v>6</v>
      </c>
      <c r="D6" s="50" t="s">
        <v>18</v>
      </c>
      <c r="E6" s="50" t="s">
        <v>20</v>
      </c>
      <c r="F6" s="50"/>
      <c r="G6" s="50" t="s">
        <v>21</v>
      </c>
      <c r="H6" s="50"/>
      <c r="I6" s="50" t="s">
        <v>7</v>
      </c>
      <c r="K6" s="39" t="s">
        <v>26</v>
      </c>
      <c r="L6" s="39" t="s">
        <v>27</v>
      </c>
    </row>
    <row r="7" spans="1:12" ht="27.75" customHeight="1" x14ac:dyDescent="0.3">
      <c r="A7" s="51"/>
      <c r="B7" s="52"/>
      <c r="C7" s="50"/>
      <c r="D7" s="50"/>
      <c r="E7" s="24" t="s">
        <v>8</v>
      </c>
      <c r="F7" s="24" t="s">
        <v>9</v>
      </c>
      <c r="G7" s="24" t="s">
        <v>8</v>
      </c>
      <c r="H7" s="24" t="s">
        <v>9</v>
      </c>
      <c r="I7" s="50"/>
      <c r="K7" s="40"/>
      <c r="L7" s="40"/>
    </row>
    <row r="8" spans="1:12" ht="22" customHeight="1" x14ac:dyDescent="0.3">
      <c r="A8" s="15" t="s">
        <v>10</v>
      </c>
      <c r="B8" s="14" t="s">
        <v>48</v>
      </c>
      <c r="C8" s="8" t="s">
        <v>16</v>
      </c>
      <c r="D8" s="8"/>
      <c r="E8" s="12" t="s">
        <v>25</v>
      </c>
      <c r="F8" s="12" t="s">
        <v>25</v>
      </c>
      <c r="G8" s="12" t="s">
        <v>25</v>
      </c>
      <c r="H8" s="12" t="s">
        <v>25</v>
      </c>
      <c r="I8" s="12" t="s">
        <v>25</v>
      </c>
      <c r="K8" s="11">
        <f>D13*1.44</f>
        <v>0</v>
      </c>
      <c r="L8" s="12">
        <f>K8*D8</f>
        <v>0</v>
      </c>
    </row>
    <row r="9" spans="1:12" ht="22" customHeight="1" x14ac:dyDescent="0.3">
      <c r="A9" s="8"/>
      <c r="B9" s="16" t="s">
        <v>19</v>
      </c>
      <c r="C9" s="8" t="s">
        <v>12</v>
      </c>
      <c r="D9" s="8"/>
      <c r="E9" s="12" t="s">
        <v>25</v>
      </c>
      <c r="F9" s="12" t="s">
        <v>25</v>
      </c>
      <c r="G9" s="12" t="s">
        <v>25</v>
      </c>
      <c r="H9" s="12" t="s">
        <v>25</v>
      </c>
      <c r="I9" s="12" t="s">
        <v>25</v>
      </c>
      <c r="K9" s="10"/>
      <c r="L9" s="9"/>
    </row>
    <row r="10" spans="1:12" ht="22" customHeight="1" x14ac:dyDescent="0.3">
      <c r="A10" s="8"/>
      <c r="B10" s="32" t="s">
        <v>11</v>
      </c>
      <c r="C10" s="8" t="s">
        <v>12</v>
      </c>
      <c r="D10" s="8">
        <f>D9</f>
        <v>0</v>
      </c>
      <c r="E10" s="12">
        <f>2170</f>
        <v>2170</v>
      </c>
      <c r="F10" s="12">
        <f>D10*E10</f>
        <v>0</v>
      </c>
      <c r="G10" s="12">
        <f>E10/0.7</f>
        <v>3100</v>
      </c>
      <c r="H10" s="12">
        <f>D10*G10</f>
        <v>0</v>
      </c>
      <c r="I10" s="12">
        <f>H10</f>
        <v>0</v>
      </c>
      <c r="K10" s="10"/>
      <c r="L10" s="9"/>
    </row>
    <row r="11" spans="1:12" ht="22" customHeight="1" x14ac:dyDescent="0.3">
      <c r="A11" s="8"/>
      <c r="B11" s="32" t="s">
        <v>13</v>
      </c>
      <c r="C11" s="8" t="s">
        <v>12</v>
      </c>
      <c r="D11" s="8">
        <f t="shared" ref="D11:D12" si="0">D10</f>
        <v>0</v>
      </c>
      <c r="E11" s="12">
        <f>5000</f>
        <v>5000</v>
      </c>
      <c r="F11" s="12">
        <f t="shared" ref="F11:F17" si="1">D11*E11</f>
        <v>0</v>
      </c>
      <c r="G11" s="12">
        <f t="shared" ref="G11:G17" si="2">E11/0.7</f>
        <v>7142.8571428571431</v>
      </c>
      <c r="H11" s="12">
        <f t="shared" ref="H11:H17" si="3">D11*G11</f>
        <v>0</v>
      </c>
      <c r="I11" s="12">
        <f t="shared" ref="I11:I17" si="4">H11</f>
        <v>0</v>
      </c>
      <c r="K11" s="10"/>
      <c r="L11" s="9"/>
    </row>
    <row r="12" spans="1:12" ht="22" customHeight="1" x14ac:dyDescent="0.3">
      <c r="A12" s="8"/>
      <c r="B12" s="33" t="s">
        <v>14</v>
      </c>
      <c r="C12" s="8" t="s">
        <v>12</v>
      </c>
      <c r="D12" s="8">
        <f t="shared" si="0"/>
        <v>0</v>
      </c>
      <c r="E12" s="12">
        <f>1670</f>
        <v>1670</v>
      </c>
      <c r="F12" s="12">
        <f t="shared" si="1"/>
        <v>0</v>
      </c>
      <c r="G12" s="12">
        <f t="shared" si="2"/>
        <v>2385.7142857142858</v>
      </c>
      <c r="H12" s="12">
        <f t="shared" si="3"/>
        <v>0</v>
      </c>
      <c r="I12" s="12">
        <f t="shared" si="4"/>
        <v>0</v>
      </c>
      <c r="K12" s="10"/>
      <c r="L12" s="9"/>
    </row>
    <row r="13" spans="1:12" ht="22" customHeight="1" x14ac:dyDescent="0.3">
      <c r="A13" s="8"/>
      <c r="B13" s="34" t="s">
        <v>15</v>
      </c>
      <c r="C13" s="8" t="s">
        <v>16</v>
      </c>
      <c r="D13" s="8"/>
      <c r="E13" s="12">
        <v>24</v>
      </c>
      <c r="F13" s="12">
        <f t="shared" si="1"/>
        <v>0</v>
      </c>
      <c r="G13" s="12">
        <f t="shared" si="2"/>
        <v>34.285714285714285</v>
      </c>
      <c r="H13" s="12">
        <f t="shared" si="3"/>
        <v>0</v>
      </c>
      <c r="I13" s="12">
        <f t="shared" si="4"/>
        <v>0</v>
      </c>
      <c r="K13" s="10"/>
      <c r="L13" s="9"/>
    </row>
    <row r="14" spans="1:12" ht="22" customHeight="1" x14ac:dyDescent="0.3">
      <c r="A14" s="8"/>
      <c r="B14" s="34" t="s">
        <v>34</v>
      </c>
      <c r="C14" s="8" t="s">
        <v>16</v>
      </c>
      <c r="D14" s="8">
        <f>ROUNDUP(K8/120,0)</f>
        <v>0</v>
      </c>
      <c r="E14" s="12">
        <v>500</v>
      </c>
      <c r="F14" s="12">
        <f t="shared" si="1"/>
        <v>0</v>
      </c>
      <c r="G14" s="12">
        <f t="shared" si="2"/>
        <v>714.28571428571433</v>
      </c>
      <c r="H14" s="12">
        <f t="shared" si="3"/>
        <v>0</v>
      </c>
      <c r="I14" s="12">
        <f t="shared" si="4"/>
        <v>0</v>
      </c>
      <c r="K14" s="10"/>
      <c r="L14" s="9"/>
    </row>
    <row r="15" spans="1:12" ht="22" customHeight="1" x14ac:dyDescent="0.3">
      <c r="A15" s="8"/>
      <c r="B15" s="23" t="s">
        <v>22</v>
      </c>
      <c r="C15" s="8" t="s">
        <v>16</v>
      </c>
      <c r="D15" s="8">
        <f>ROUNDUP(K8/120,0)</f>
        <v>0</v>
      </c>
      <c r="E15" s="12">
        <v>1150</v>
      </c>
      <c r="F15" s="12">
        <f t="shared" si="1"/>
        <v>0</v>
      </c>
      <c r="G15" s="12">
        <f t="shared" si="2"/>
        <v>1642.8571428571429</v>
      </c>
      <c r="H15" s="12">
        <f t="shared" si="3"/>
        <v>0</v>
      </c>
      <c r="I15" s="12">
        <f t="shared" si="4"/>
        <v>0</v>
      </c>
      <c r="K15" s="9"/>
      <c r="L15" s="9"/>
    </row>
    <row r="16" spans="1:12" ht="22" customHeight="1" x14ac:dyDescent="0.3">
      <c r="A16" s="8"/>
      <c r="B16" s="17" t="s">
        <v>28</v>
      </c>
      <c r="C16" s="8" t="s">
        <v>29</v>
      </c>
      <c r="D16" s="8"/>
      <c r="E16" s="12">
        <v>1600</v>
      </c>
      <c r="F16" s="12">
        <f t="shared" si="1"/>
        <v>0</v>
      </c>
      <c r="G16" s="12">
        <f t="shared" si="2"/>
        <v>2285.7142857142858</v>
      </c>
      <c r="H16" s="12">
        <f t="shared" si="3"/>
        <v>0</v>
      </c>
      <c r="I16" s="12">
        <f t="shared" si="4"/>
        <v>0</v>
      </c>
      <c r="K16" s="9"/>
      <c r="L16" s="9"/>
    </row>
    <row r="17" spans="1:12" ht="22" customHeight="1" x14ac:dyDescent="0.3">
      <c r="A17" s="8"/>
      <c r="B17" s="17" t="s">
        <v>30</v>
      </c>
      <c r="C17" s="8" t="s">
        <v>29</v>
      </c>
      <c r="D17" s="8"/>
      <c r="E17" s="12">
        <v>1600</v>
      </c>
      <c r="F17" s="12">
        <f t="shared" si="1"/>
        <v>0</v>
      </c>
      <c r="G17" s="12">
        <f t="shared" si="2"/>
        <v>2285.7142857142858</v>
      </c>
      <c r="H17" s="12">
        <f t="shared" si="3"/>
        <v>0</v>
      </c>
      <c r="I17" s="12">
        <f t="shared" si="4"/>
        <v>0</v>
      </c>
      <c r="K17" s="9"/>
      <c r="L17" s="9"/>
    </row>
    <row r="18" spans="1:12" ht="22" customHeight="1" x14ac:dyDescent="0.3">
      <c r="A18" s="41" t="s">
        <v>24</v>
      </c>
      <c r="B18" s="42"/>
      <c r="C18" s="42"/>
      <c r="D18" s="42"/>
      <c r="E18" s="42"/>
      <c r="F18" s="42"/>
      <c r="G18" s="42"/>
      <c r="H18" s="43"/>
      <c r="I18" s="19">
        <f>SUM(I10:I17)</f>
        <v>0</v>
      </c>
      <c r="K18" s="21"/>
      <c r="L18" s="21"/>
    </row>
    <row r="19" spans="1:12" ht="22" customHeight="1" x14ac:dyDescent="0.3">
      <c r="A19" s="44" t="s">
        <v>23</v>
      </c>
      <c r="B19" s="44"/>
      <c r="C19" s="44"/>
      <c r="D19" s="44"/>
      <c r="E19" s="44"/>
      <c r="F19" s="44"/>
      <c r="G19" s="44"/>
      <c r="H19" s="44"/>
      <c r="I19" s="25">
        <f>I18*D8</f>
        <v>0</v>
      </c>
      <c r="K19" s="21"/>
      <c r="L19" s="21"/>
    </row>
    <row r="20" spans="1:12" ht="22" customHeight="1" x14ac:dyDescent="0.3">
      <c r="A20" s="48"/>
      <c r="B20" s="48"/>
      <c r="C20" s="48"/>
      <c r="D20" s="48"/>
      <c r="E20" s="48"/>
      <c r="F20" s="48"/>
      <c r="G20" s="48"/>
      <c r="H20" s="48"/>
      <c r="I20" s="48"/>
      <c r="K20" s="21"/>
      <c r="L20" s="21"/>
    </row>
    <row r="21" spans="1:12" ht="22" customHeight="1" x14ac:dyDescent="0.3">
      <c r="A21" s="15" t="s">
        <v>17</v>
      </c>
      <c r="B21" s="14" t="s">
        <v>48</v>
      </c>
      <c r="C21" s="8" t="s">
        <v>16</v>
      </c>
      <c r="D21" s="8"/>
      <c r="E21" s="12" t="s">
        <v>25</v>
      </c>
      <c r="F21" s="12" t="s">
        <v>25</v>
      </c>
      <c r="G21" s="12" t="s">
        <v>25</v>
      </c>
      <c r="H21" s="12" t="s">
        <v>25</v>
      </c>
      <c r="I21" s="12" t="s">
        <v>25</v>
      </c>
      <c r="K21" s="39" t="s">
        <v>26</v>
      </c>
      <c r="L21" s="39" t="s">
        <v>27</v>
      </c>
    </row>
    <row r="22" spans="1:12" ht="22" customHeight="1" x14ac:dyDescent="0.3">
      <c r="A22" s="15"/>
      <c r="B22" s="16" t="s">
        <v>19</v>
      </c>
      <c r="C22" s="8" t="s">
        <v>12</v>
      </c>
      <c r="D22" s="8"/>
      <c r="E22" s="12" t="s">
        <v>25</v>
      </c>
      <c r="F22" s="12" t="s">
        <v>25</v>
      </c>
      <c r="G22" s="12" t="s">
        <v>25</v>
      </c>
      <c r="H22" s="12" t="s">
        <v>25</v>
      </c>
      <c r="I22" s="12" t="s">
        <v>25</v>
      </c>
      <c r="K22" s="40"/>
      <c r="L22" s="40"/>
    </row>
    <row r="23" spans="1:12" ht="22" customHeight="1" x14ac:dyDescent="0.3">
      <c r="A23" s="15"/>
      <c r="B23" s="16" t="s">
        <v>11</v>
      </c>
      <c r="C23" s="8" t="s">
        <v>12</v>
      </c>
      <c r="D23" s="8">
        <f>D22</f>
        <v>0</v>
      </c>
      <c r="E23" s="12">
        <f>2170</f>
        <v>2170</v>
      </c>
      <c r="F23" s="12">
        <f>D23*E23</f>
        <v>0</v>
      </c>
      <c r="G23" s="12">
        <f>E23/0.7</f>
        <v>3100</v>
      </c>
      <c r="H23" s="12">
        <f>D23*G23</f>
        <v>0</v>
      </c>
      <c r="I23" s="12">
        <f>H23</f>
        <v>0</v>
      </c>
      <c r="K23" s="11">
        <f>D26*1.44</f>
        <v>0</v>
      </c>
      <c r="L23" s="12">
        <f>K23*D21</f>
        <v>0</v>
      </c>
    </row>
    <row r="24" spans="1:12" ht="22" customHeight="1" x14ac:dyDescent="0.3">
      <c r="A24" s="8"/>
      <c r="B24" s="16" t="s">
        <v>13</v>
      </c>
      <c r="C24" s="8" t="s">
        <v>12</v>
      </c>
      <c r="D24" s="8">
        <f t="shared" ref="D24:D25" si="5">D23</f>
        <v>0</v>
      </c>
      <c r="E24" s="12">
        <f>5000</f>
        <v>5000</v>
      </c>
      <c r="F24" s="12">
        <f t="shared" ref="F24:F30" si="6">D24*E24</f>
        <v>0</v>
      </c>
      <c r="G24" s="12">
        <f t="shared" ref="G24:G30" si="7">E24/0.7</f>
        <v>7142.8571428571431</v>
      </c>
      <c r="H24" s="12">
        <f t="shared" ref="H24:H30" si="8">D24*G24</f>
        <v>0</v>
      </c>
      <c r="I24" s="12">
        <f t="shared" ref="I24:I30" si="9">H24</f>
        <v>0</v>
      </c>
      <c r="K24" s="22"/>
      <c r="L24" s="22"/>
    </row>
    <row r="25" spans="1:12" ht="22" customHeight="1" x14ac:dyDescent="0.3">
      <c r="A25" s="8"/>
      <c r="B25" s="17" t="s">
        <v>14</v>
      </c>
      <c r="C25" s="8" t="s">
        <v>12</v>
      </c>
      <c r="D25" s="8">
        <f t="shared" si="5"/>
        <v>0</v>
      </c>
      <c r="E25" s="12">
        <f>1670</f>
        <v>1670</v>
      </c>
      <c r="F25" s="12">
        <f t="shared" si="6"/>
        <v>0</v>
      </c>
      <c r="G25" s="12">
        <f t="shared" si="7"/>
        <v>2385.7142857142858</v>
      </c>
      <c r="H25" s="12">
        <f t="shared" si="8"/>
        <v>0</v>
      </c>
      <c r="I25" s="12">
        <f t="shared" si="9"/>
        <v>0</v>
      </c>
      <c r="K25" s="22"/>
      <c r="L25" s="22"/>
    </row>
    <row r="26" spans="1:12" ht="22" customHeight="1" x14ac:dyDescent="0.3">
      <c r="A26" s="8"/>
      <c r="B26" s="23" t="s">
        <v>15</v>
      </c>
      <c r="C26" s="8" t="s">
        <v>16</v>
      </c>
      <c r="D26" s="8"/>
      <c r="E26" s="12">
        <v>24</v>
      </c>
      <c r="F26" s="12">
        <f t="shared" si="6"/>
        <v>0</v>
      </c>
      <c r="G26" s="12">
        <f t="shared" si="7"/>
        <v>34.285714285714285</v>
      </c>
      <c r="H26" s="12">
        <f t="shared" si="8"/>
        <v>0</v>
      </c>
      <c r="I26" s="12">
        <f t="shared" si="9"/>
        <v>0</v>
      </c>
      <c r="K26" s="22"/>
      <c r="L26" s="22"/>
    </row>
    <row r="27" spans="1:12" ht="22" customHeight="1" x14ac:dyDescent="0.3">
      <c r="A27" s="8"/>
      <c r="B27" s="23" t="s">
        <v>34</v>
      </c>
      <c r="C27" s="8" t="s">
        <v>16</v>
      </c>
      <c r="D27" s="8">
        <f>ROUNDUP(K23/120,0)</f>
        <v>0</v>
      </c>
      <c r="E27" s="12">
        <v>500</v>
      </c>
      <c r="F27" s="12">
        <f t="shared" si="6"/>
        <v>0</v>
      </c>
      <c r="G27" s="12">
        <f t="shared" si="7"/>
        <v>714.28571428571433</v>
      </c>
      <c r="H27" s="12">
        <f t="shared" si="8"/>
        <v>0</v>
      </c>
      <c r="I27" s="12">
        <f t="shared" si="9"/>
        <v>0</v>
      </c>
      <c r="K27" s="22"/>
      <c r="L27" s="22"/>
    </row>
    <row r="28" spans="1:12" ht="22" customHeight="1" x14ac:dyDescent="0.3">
      <c r="A28" s="8"/>
      <c r="B28" s="18" t="s">
        <v>22</v>
      </c>
      <c r="C28" s="8" t="s">
        <v>16</v>
      </c>
      <c r="D28" s="8">
        <f>ROUNDUP(K23/120,0)</f>
        <v>0</v>
      </c>
      <c r="E28" s="12">
        <v>1150</v>
      </c>
      <c r="F28" s="12">
        <f t="shared" si="6"/>
        <v>0</v>
      </c>
      <c r="G28" s="12">
        <f t="shared" si="7"/>
        <v>1642.8571428571429</v>
      </c>
      <c r="H28" s="12">
        <f t="shared" si="8"/>
        <v>0</v>
      </c>
      <c r="I28" s="12">
        <f t="shared" si="9"/>
        <v>0</v>
      </c>
      <c r="K28" s="22"/>
      <c r="L28" s="22"/>
    </row>
    <row r="29" spans="1:12" ht="22" customHeight="1" x14ac:dyDescent="0.3">
      <c r="A29" s="8"/>
      <c r="B29" s="17" t="s">
        <v>28</v>
      </c>
      <c r="C29" s="8" t="s">
        <v>29</v>
      </c>
      <c r="D29" s="8"/>
      <c r="E29" s="12">
        <v>1600</v>
      </c>
      <c r="F29" s="12">
        <f t="shared" si="6"/>
        <v>0</v>
      </c>
      <c r="G29" s="12">
        <f t="shared" si="7"/>
        <v>2285.7142857142858</v>
      </c>
      <c r="H29" s="12">
        <f t="shared" si="8"/>
        <v>0</v>
      </c>
      <c r="I29" s="12">
        <f t="shared" si="9"/>
        <v>0</v>
      </c>
      <c r="K29" s="22"/>
      <c r="L29" s="22"/>
    </row>
    <row r="30" spans="1:12" ht="22" customHeight="1" x14ac:dyDescent="0.3">
      <c r="A30" s="8"/>
      <c r="B30" s="17" t="s">
        <v>30</v>
      </c>
      <c r="C30" s="8" t="s">
        <v>29</v>
      </c>
      <c r="D30" s="8"/>
      <c r="E30" s="12">
        <v>1600</v>
      </c>
      <c r="F30" s="12">
        <f t="shared" si="6"/>
        <v>0</v>
      </c>
      <c r="G30" s="12">
        <f t="shared" si="7"/>
        <v>2285.7142857142858</v>
      </c>
      <c r="H30" s="12">
        <f t="shared" si="8"/>
        <v>0</v>
      </c>
      <c r="I30" s="12">
        <f t="shared" si="9"/>
        <v>0</v>
      </c>
      <c r="K30" s="22"/>
      <c r="L30" s="22"/>
    </row>
    <row r="31" spans="1:12" ht="22" customHeight="1" x14ac:dyDescent="0.3">
      <c r="A31" s="41" t="s">
        <v>33</v>
      </c>
      <c r="B31" s="42"/>
      <c r="C31" s="42"/>
      <c r="D31" s="42"/>
      <c r="E31" s="42"/>
      <c r="F31" s="42"/>
      <c r="G31" s="42"/>
      <c r="H31" s="43"/>
      <c r="I31" s="19">
        <f>SUM(I23:I30)</f>
        <v>0</v>
      </c>
      <c r="K31" s="22"/>
      <c r="L31" s="22"/>
    </row>
    <row r="32" spans="1:12" ht="22" customHeight="1" x14ac:dyDescent="0.3">
      <c r="A32" s="44" t="s">
        <v>31</v>
      </c>
      <c r="B32" s="44"/>
      <c r="C32" s="44"/>
      <c r="D32" s="44"/>
      <c r="E32" s="44"/>
      <c r="F32" s="44"/>
      <c r="G32" s="44"/>
      <c r="H32" s="44"/>
      <c r="I32" s="25">
        <f>I31*D21</f>
        <v>0</v>
      </c>
      <c r="K32" s="22"/>
      <c r="L32" s="22"/>
    </row>
    <row r="35" spans="1:12" ht="22" customHeight="1" x14ac:dyDescent="0.3">
      <c r="A35" s="15" t="s">
        <v>35</v>
      </c>
      <c r="B35" s="14" t="s">
        <v>48</v>
      </c>
      <c r="C35" s="8" t="s">
        <v>16</v>
      </c>
      <c r="D35" s="8"/>
      <c r="E35" s="12" t="s">
        <v>25</v>
      </c>
      <c r="F35" s="12" t="s">
        <v>25</v>
      </c>
      <c r="G35" s="12" t="s">
        <v>25</v>
      </c>
      <c r="H35" s="12" t="s">
        <v>25</v>
      </c>
      <c r="I35" s="12" t="s">
        <v>25</v>
      </c>
      <c r="K35" s="39" t="s">
        <v>26</v>
      </c>
      <c r="L35" s="39" t="s">
        <v>27</v>
      </c>
    </row>
    <row r="36" spans="1:12" ht="22" customHeight="1" x14ac:dyDescent="0.3">
      <c r="A36" s="15"/>
      <c r="B36" s="16" t="s">
        <v>19</v>
      </c>
      <c r="C36" s="8" t="s">
        <v>12</v>
      </c>
      <c r="D36" s="8"/>
      <c r="E36" s="12" t="s">
        <v>25</v>
      </c>
      <c r="F36" s="12" t="s">
        <v>25</v>
      </c>
      <c r="G36" s="12" t="s">
        <v>25</v>
      </c>
      <c r="H36" s="12" t="s">
        <v>25</v>
      </c>
      <c r="I36" s="12" t="s">
        <v>25</v>
      </c>
      <c r="K36" s="40"/>
      <c r="L36" s="40"/>
    </row>
    <row r="37" spans="1:12" ht="22" customHeight="1" x14ac:dyDescent="0.3">
      <c r="A37" s="15"/>
      <c r="B37" s="16" t="s">
        <v>11</v>
      </c>
      <c r="C37" s="8" t="s">
        <v>12</v>
      </c>
      <c r="D37" s="8">
        <f>D36</f>
        <v>0</v>
      </c>
      <c r="E37" s="12">
        <f>2170</f>
        <v>2170</v>
      </c>
      <c r="F37" s="12">
        <f>D37*E37</f>
        <v>0</v>
      </c>
      <c r="G37" s="12">
        <f t="shared" ref="G37:G44" si="10">E37/0.7</f>
        <v>3100</v>
      </c>
      <c r="H37" s="12">
        <f>D37*G37</f>
        <v>0</v>
      </c>
      <c r="I37" s="12">
        <f>H37</f>
        <v>0</v>
      </c>
      <c r="K37" s="11">
        <f>D40*1.44</f>
        <v>0</v>
      </c>
      <c r="L37" s="12">
        <f>K37*D35</f>
        <v>0</v>
      </c>
    </row>
    <row r="38" spans="1:12" ht="22" customHeight="1" x14ac:dyDescent="0.3">
      <c r="A38" s="8"/>
      <c r="B38" s="16" t="s">
        <v>13</v>
      </c>
      <c r="C38" s="8" t="s">
        <v>12</v>
      </c>
      <c r="D38" s="8">
        <f t="shared" ref="D38:D39" si="11">D37</f>
        <v>0</v>
      </c>
      <c r="E38" s="12">
        <f>5000</f>
        <v>5000</v>
      </c>
      <c r="F38" s="12">
        <f t="shared" ref="F38:F44" si="12">D38*E38</f>
        <v>0</v>
      </c>
      <c r="G38" s="12">
        <f t="shared" si="10"/>
        <v>7142.8571428571431</v>
      </c>
      <c r="H38" s="12">
        <f t="shared" ref="H38:H44" si="13">D38*G38</f>
        <v>0</v>
      </c>
      <c r="I38" s="12">
        <f t="shared" ref="I38:I44" si="14">H38</f>
        <v>0</v>
      </c>
      <c r="K38" s="22"/>
      <c r="L38" s="22"/>
    </row>
    <row r="39" spans="1:12" ht="22" customHeight="1" x14ac:dyDescent="0.3">
      <c r="A39" s="8"/>
      <c r="B39" s="17" t="s">
        <v>14</v>
      </c>
      <c r="C39" s="8" t="s">
        <v>12</v>
      </c>
      <c r="D39" s="8">
        <f t="shared" si="11"/>
        <v>0</v>
      </c>
      <c r="E39" s="12">
        <f>1670</f>
        <v>1670</v>
      </c>
      <c r="F39" s="12">
        <f t="shared" si="12"/>
        <v>0</v>
      </c>
      <c r="G39" s="12">
        <f t="shared" si="10"/>
        <v>2385.7142857142858</v>
      </c>
      <c r="H39" s="12">
        <f t="shared" si="13"/>
        <v>0</v>
      </c>
      <c r="I39" s="12">
        <f t="shared" si="14"/>
        <v>0</v>
      </c>
      <c r="K39" s="22"/>
      <c r="L39" s="22"/>
    </row>
    <row r="40" spans="1:12" ht="22" customHeight="1" x14ac:dyDescent="0.3">
      <c r="A40" s="8"/>
      <c r="B40" s="23" t="s">
        <v>15</v>
      </c>
      <c r="C40" s="8" t="s">
        <v>16</v>
      </c>
      <c r="D40" s="8"/>
      <c r="E40" s="12">
        <v>24</v>
      </c>
      <c r="F40" s="12">
        <f t="shared" si="12"/>
        <v>0</v>
      </c>
      <c r="G40" s="12">
        <f t="shared" si="10"/>
        <v>34.285714285714285</v>
      </c>
      <c r="H40" s="12">
        <f t="shared" si="13"/>
        <v>0</v>
      </c>
      <c r="I40" s="12">
        <f t="shared" si="14"/>
        <v>0</v>
      </c>
      <c r="K40" s="22"/>
      <c r="L40" s="22"/>
    </row>
    <row r="41" spans="1:12" ht="22" customHeight="1" x14ac:dyDescent="0.3">
      <c r="A41" s="8"/>
      <c r="B41" s="23" t="s">
        <v>34</v>
      </c>
      <c r="C41" s="8" t="s">
        <v>16</v>
      </c>
      <c r="D41" s="8">
        <f>ROUNDUP(K37/120,0)</f>
        <v>0</v>
      </c>
      <c r="E41" s="12">
        <v>500</v>
      </c>
      <c r="F41" s="12">
        <f t="shared" si="12"/>
        <v>0</v>
      </c>
      <c r="G41" s="12">
        <f t="shared" si="10"/>
        <v>714.28571428571433</v>
      </c>
      <c r="H41" s="12">
        <f t="shared" si="13"/>
        <v>0</v>
      </c>
      <c r="I41" s="12">
        <f t="shared" si="14"/>
        <v>0</v>
      </c>
      <c r="K41" s="22"/>
      <c r="L41" s="22"/>
    </row>
    <row r="42" spans="1:12" ht="22" customHeight="1" x14ac:dyDescent="0.3">
      <c r="A42" s="8"/>
      <c r="B42" s="18" t="s">
        <v>22</v>
      </c>
      <c r="C42" s="8" t="s">
        <v>16</v>
      </c>
      <c r="D42" s="8">
        <f>ROUNDUP(K37/120,0)</f>
        <v>0</v>
      </c>
      <c r="E42" s="12">
        <v>1150</v>
      </c>
      <c r="F42" s="12">
        <f t="shared" si="12"/>
        <v>0</v>
      </c>
      <c r="G42" s="12">
        <f t="shared" si="10"/>
        <v>1642.8571428571429</v>
      </c>
      <c r="H42" s="12">
        <f t="shared" si="13"/>
        <v>0</v>
      </c>
      <c r="I42" s="12">
        <f t="shared" si="14"/>
        <v>0</v>
      </c>
      <c r="K42" s="22"/>
      <c r="L42" s="22"/>
    </row>
    <row r="43" spans="1:12" ht="22" customHeight="1" x14ac:dyDescent="0.3">
      <c r="A43" s="8"/>
      <c r="B43" s="17" t="s">
        <v>28</v>
      </c>
      <c r="C43" s="8" t="s">
        <v>29</v>
      </c>
      <c r="D43" s="8"/>
      <c r="E43" s="12">
        <v>1600</v>
      </c>
      <c r="F43" s="12">
        <f t="shared" si="12"/>
        <v>0</v>
      </c>
      <c r="G43" s="12">
        <f t="shared" si="10"/>
        <v>2285.7142857142858</v>
      </c>
      <c r="H43" s="12">
        <f t="shared" si="13"/>
        <v>0</v>
      </c>
      <c r="I43" s="12">
        <f t="shared" si="14"/>
        <v>0</v>
      </c>
      <c r="K43" s="22"/>
      <c r="L43" s="22"/>
    </row>
    <row r="44" spans="1:12" ht="22" customHeight="1" x14ac:dyDescent="0.3">
      <c r="A44" s="8"/>
      <c r="B44" s="17" t="s">
        <v>30</v>
      </c>
      <c r="C44" s="8" t="s">
        <v>29</v>
      </c>
      <c r="D44" s="8"/>
      <c r="E44" s="12">
        <v>1600</v>
      </c>
      <c r="F44" s="12">
        <f t="shared" si="12"/>
        <v>0</v>
      </c>
      <c r="G44" s="12">
        <f t="shared" si="10"/>
        <v>2285.7142857142858</v>
      </c>
      <c r="H44" s="12">
        <f t="shared" si="13"/>
        <v>0</v>
      </c>
      <c r="I44" s="12">
        <f t="shared" si="14"/>
        <v>0</v>
      </c>
      <c r="K44" s="22"/>
      <c r="L44" s="22"/>
    </row>
    <row r="45" spans="1:12" ht="22" customHeight="1" x14ac:dyDescent="0.3">
      <c r="A45" s="41" t="s">
        <v>37</v>
      </c>
      <c r="B45" s="42"/>
      <c r="C45" s="42"/>
      <c r="D45" s="42"/>
      <c r="E45" s="42"/>
      <c r="F45" s="42"/>
      <c r="G45" s="42"/>
      <c r="H45" s="43"/>
      <c r="I45" s="19">
        <f>SUM(I37:I44)</f>
        <v>0</v>
      </c>
      <c r="K45" s="22"/>
      <c r="L45" s="22"/>
    </row>
    <row r="46" spans="1:12" ht="22" customHeight="1" x14ac:dyDescent="0.3">
      <c r="A46" s="45" t="s">
        <v>36</v>
      </c>
      <c r="B46" s="46"/>
      <c r="C46" s="46"/>
      <c r="D46" s="46"/>
      <c r="E46" s="46"/>
      <c r="F46" s="46"/>
      <c r="G46" s="46"/>
      <c r="H46" s="47"/>
      <c r="I46" s="25">
        <f>I45*D35</f>
        <v>0</v>
      </c>
      <c r="K46" s="22"/>
      <c r="L46" s="22"/>
    </row>
    <row r="47" spans="1:12" ht="22" customHeight="1" x14ac:dyDescent="0.3">
      <c r="A47" s="20"/>
      <c r="B47" s="30"/>
      <c r="C47" s="20"/>
      <c r="D47" s="20"/>
      <c r="E47" s="10"/>
      <c r="F47" s="10"/>
      <c r="G47" s="10"/>
      <c r="H47" s="10"/>
      <c r="I47" s="10"/>
      <c r="K47" s="22"/>
      <c r="L47" s="22"/>
    </row>
    <row r="48" spans="1:12" ht="22" customHeight="1" x14ac:dyDescent="0.3">
      <c r="A48" s="36" t="s">
        <v>32</v>
      </c>
      <c r="B48" s="37"/>
      <c r="C48" s="37"/>
      <c r="D48" s="37"/>
      <c r="E48" s="37"/>
      <c r="F48" s="37"/>
      <c r="G48" s="37"/>
      <c r="H48" s="38"/>
      <c r="I48" s="31">
        <f>SUM(I19+I32+I46)</f>
        <v>0</v>
      </c>
      <c r="K48" s="21"/>
      <c r="L48" s="21"/>
    </row>
    <row r="51" spans="1:1" ht="15" x14ac:dyDescent="0.3">
      <c r="A51" s="35" t="s">
        <v>38</v>
      </c>
    </row>
    <row r="52" spans="1:1" ht="15" x14ac:dyDescent="0.3">
      <c r="A52" s="35"/>
    </row>
    <row r="53" spans="1:1" ht="15" x14ac:dyDescent="0.3">
      <c r="A53" s="35" t="s">
        <v>39</v>
      </c>
    </row>
    <row r="54" spans="1:1" ht="15" x14ac:dyDescent="0.3">
      <c r="A54" s="35" t="s">
        <v>40</v>
      </c>
    </row>
    <row r="55" spans="1:1" ht="15" x14ac:dyDescent="0.3">
      <c r="A55" s="35" t="s">
        <v>41</v>
      </c>
    </row>
    <row r="56" spans="1:1" ht="15" x14ac:dyDescent="0.3">
      <c r="A56" s="35" t="s">
        <v>44</v>
      </c>
    </row>
    <row r="57" spans="1:1" ht="15" x14ac:dyDescent="0.3">
      <c r="A57" s="35" t="s">
        <v>42</v>
      </c>
    </row>
    <row r="58" spans="1:1" ht="15" x14ac:dyDescent="0.3">
      <c r="A58" s="35" t="s">
        <v>43</v>
      </c>
    </row>
  </sheetData>
  <mergeCells count="22">
    <mergeCell ref="A1:I1"/>
    <mergeCell ref="A6:A7"/>
    <mergeCell ref="B6:B7"/>
    <mergeCell ref="C6:C7"/>
    <mergeCell ref="D6:D7"/>
    <mergeCell ref="E6:F6"/>
    <mergeCell ref="G6:H6"/>
    <mergeCell ref="I6:I7"/>
    <mergeCell ref="K6:K7"/>
    <mergeCell ref="L6:L7"/>
    <mergeCell ref="K21:K22"/>
    <mergeCell ref="L21:L22"/>
    <mergeCell ref="A18:H18"/>
    <mergeCell ref="A19:H19"/>
    <mergeCell ref="A20:I20"/>
    <mergeCell ref="A48:H48"/>
    <mergeCell ref="L35:L36"/>
    <mergeCell ref="A45:H45"/>
    <mergeCell ref="A31:H31"/>
    <mergeCell ref="A32:H32"/>
    <mergeCell ref="A46:H46"/>
    <mergeCell ref="K35:K36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Visawa Deetae</dc:creator>
  <cp:lastModifiedBy>Visawa Deetae</cp:lastModifiedBy>
  <cp:lastPrinted>2026-05-06T04:33:28Z</cp:lastPrinted>
  <dcterms:created xsi:type="dcterms:W3CDTF">2026-05-06T02:52:17Z</dcterms:created>
  <dcterms:modified xsi:type="dcterms:W3CDTF">2026-05-06T06:31:18Z</dcterms:modified>
</cp:coreProperties>
</file>